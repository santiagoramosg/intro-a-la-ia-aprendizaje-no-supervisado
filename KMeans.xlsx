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Centroides" sheetId="2" state="visible" r:id="rId4"/>
    <sheet name="Dista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<sst xmlns="http://schemas.openxmlformats.org/spreadsheetml/2006/main" count="16" uniqueCount="11">
  <si>
    <t xml:space="preserve">ID</t>
  </si>
  <si>
    <t xml:space="preserve">X</t>
  </si>
  <si>
    <t xml:space="preserve">Y</t>
  </si>
  <si>
    <t xml:space="preserve">Cluster</t>
  </si>
  <si>
    <t xml:space="preserve">Primera Iteracion</t>
  </si>
  <si>
    <t xml:space="preserve">X Centroide</t>
  </si>
  <si>
    <t xml:space="preserve">Y Centroide</t>
  </si>
  <si>
    <t xml:space="preserve">Segunda Iteracion</t>
  </si>
  <si>
    <t xml:space="preserve">Distancia C1</t>
  </si>
  <si>
    <t xml:space="preserve">Distancia C2</t>
  </si>
  <si>
    <t xml:space="preserve">Clúster más cercano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</si>
</sst>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0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6" min="1" style="0" width="8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n">
        <v>1</v>
      </c>
      <c r="B2" s="1" t="n">
        <v>2</v>
      </c>
      <c r="C2" s="1" t="n">
        <v>3</v>
      </c>
      <c r="D2" s="0" t="n">
        <f aca="false">Distancias!D2</f>
        <v>1</v>
      </c>
    </row>
    <row r="3" customFormat="false" ht="15" hidden="false" customHeight="false" outlineLevel="0" collapsed="false">
      <c r="A3" s="1" t="n">
        <v>2</v>
      </c>
      <c r="B3" s="1" t="n">
        <v>5</v>
      </c>
      <c r="C3" s="1" t="n">
        <v>4</v>
      </c>
      <c r="D3" s="0" t="n">
        <f aca="false">Distancias!D3</f>
        <v>2</v>
      </c>
    </row>
    <row r="4" customFormat="false" ht="15" hidden="false" customHeight="false" outlineLevel="0" collapsed="false">
      <c r="A4" s="1" t="n">
        <v>3</v>
      </c>
      <c r="B4" s="1" t="n">
        <v>1</v>
      </c>
      <c r="C4" s="1" t="n">
        <v>2</v>
      </c>
      <c r="D4" s="0" t="n">
        <f aca="false">Distancias!D4</f>
        <v>1</v>
      </c>
    </row>
    <row r="5" customFormat="false" ht="15" hidden="false" customHeight="false" outlineLevel="0" collapsed="false">
      <c r="A5" s="1" t="n">
        <v>4</v>
      </c>
      <c r="B5" s="1" t="n">
        <v>6</v>
      </c>
      <c r="C5" s="1" t="n">
        <v>5</v>
      </c>
      <c r="D5" s="0" t="n">
        <f aca="false">Distancias!D5</f>
        <v>2</v>
      </c>
    </row>
    <row r="6" customFormat="false" ht="15" hidden="false" customHeight="false" outlineLevel="0" collapsed="false">
      <c r="A6" s="1" t="n">
        <v>5</v>
      </c>
      <c r="B6" s="1" t="n">
        <v>1.5</v>
      </c>
      <c r="C6" s="1" t="n">
        <v>2.5</v>
      </c>
      <c r="D6" s="0" t="n">
        <f aca="false">Distancias!D6</f>
        <v>1</v>
      </c>
    </row>
    <row r="7" customFormat="false" ht="15" hidden="false" customHeight="false" outlineLevel="0" collapsed="false">
      <c r="A7" s="1" t="n">
        <v>6</v>
      </c>
      <c r="B7" s="1" t="n">
        <v>7</v>
      </c>
      <c r="C7" s="1" t="n">
        <v>6</v>
      </c>
      <c r="D7" s="0" t="n">
        <f aca="false">Distancias!D7</f>
        <v>2</v>
      </c>
    </row>
    <row r="8" customFormat="false" ht="15" hidden="false" customHeight="false" outlineLevel="0" collapsed="false">
      <c r="A8" s="1" t="n">
        <v>7</v>
      </c>
      <c r="B8" s="1" t="n">
        <v>8</v>
      </c>
      <c r="C8" s="1" t="n">
        <v>7</v>
      </c>
      <c r="D8" s="0" t="n">
        <f aca="false">Distancias!D8</f>
        <v>2</v>
      </c>
    </row>
    <row r="9" customFormat="false" ht="15" hidden="false" customHeight="false" outlineLevel="0" collapsed="false">
      <c r="A9" s="1" t="n">
        <v>8</v>
      </c>
      <c r="B9" s="1" t="n">
        <v>1</v>
      </c>
      <c r="C9" s="1" t="n">
        <v>1.5</v>
      </c>
      <c r="D9" s="0" t="n">
        <f aca="false">Distancias!D9</f>
        <v>1</v>
      </c>
    </row>
    <row r="10" customFormat="false" ht="15" hidden="false" customHeight="false" outlineLevel="0" collapsed="false">
      <c r="A10" s="1" t="n">
        <v>9</v>
      </c>
      <c r="B10" s="1" t="n">
        <v>9</v>
      </c>
      <c r="C10" s="1" t="n">
        <v>8</v>
      </c>
      <c r="D10" s="0" t="n">
        <f aca="false">Distancias!D10</f>
        <v>2</v>
      </c>
    </row>
    <row r="11" customFormat="false" ht="15" hidden="false" customHeight="false" outlineLevel="0" collapsed="false">
      <c r="A11" s="1" t="n">
        <v>10</v>
      </c>
      <c r="B11" s="1" t="n">
        <v>0.5</v>
      </c>
      <c r="C11" s="1" t="n">
        <v>1</v>
      </c>
      <c r="D11" s="0" t="n">
        <f aca="false">Distancias!D11</f>
        <v>1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8.71"/>
    <col collapsed="false" customWidth="true" hidden="false" outlineLevel="0" max="2" min="2" style="0" width="11.85"/>
    <col collapsed="false" customWidth="true" hidden="false" outlineLevel="0" max="3" min="3" style="0" width="12.57"/>
    <col collapsed="false" customWidth="true" hidden="false" outlineLevel="0" max="6" min="4" style="0" width="8.71"/>
  </cols>
  <sheetData>
    <row r="1" customFormat="false" ht="15" hidden="false" customHeight="false" outlineLevel="0" collapsed="false">
      <c r="A1" s="1" t="s">
        <v>4</v>
      </c>
    </row>
    <row r="2" customFormat="false" ht="15" hidden="false" customHeight="false" outlineLevel="0" collapsed="false">
      <c r="A2" s="1"/>
    </row>
    <row r="3" customFormat="false" ht="15" hidden="false" customHeight="false" outlineLevel="0" collapsed="false">
      <c r="A3" s="2" t="s">
        <v>3</v>
      </c>
      <c r="B3" s="2" t="s">
        <v>5</v>
      </c>
      <c r="C3" s="2" t="s">
        <v>6</v>
      </c>
    </row>
    <row r="4" customFormat="false" ht="15" hidden="false" customHeight="false" outlineLevel="0" collapsed="false">
      <c r="A4" s="1" t="n">
        <v>1</v>
      </c>
      <c r="B4" s="1" t="n">
        <v>1</v>
      </c>
      <c r="C4" s="1" t="n">
        <v>2</v>
      </c>
    </row>
    <row r="5" customFormat="false" ht="15" hidden="false" customHeight="false" outlineLevel="0" collapsed="false">
      <c r="A5" s="1" t="n">
        <v>2</v>
      </c>
      <c r="B5" s="1" t="n">
        <v>5</v>
      </c>
      <c r="C5" s="1" t="n">
        <v>5</v>
      </c>
    </row>
    <row r="9" customFormat="false" ht="15" hidden="false" customHeight="false" outlineLevel="0" collapsed="false">
      <c r="A9" s="3" t="s">
        <v>7</v>
      </c>
      <c r="B9" s="3"/>
      <c r="C9" s="3"/>
    </row>
    <row r="10" customFormat="false" ht="15" hidden="false" customHeight="false" outlineLevel="0" collapsed="false">
      <c r="A10" s="4" t="s">
        <v>3</v>
      </c>
      <c r="B10" s="5" t="s">
        <v>5</v>
      </c>
      <c r="C10" s="5" t="s">
        <v>6</v>
      </c>
    </row>
    <row r="11" customFormat="false" ht="15" hidden="false" customHeight="false" outlineLevel="0" collapsed="false">
      <c r="A11" s="6" t="n">
        <v>1</v>
      </c>
      <c r="B11" s="7" t="n">
        <f aca="false">AVERAGEIF(Datos!$D$2:$D$11,A11,Datos!$B$2:$B$11)</f>
        <v>1.2</v>
      </c>
      <c r="C11" s="7" t="n">
        <f aca="false">AVERAGEIF(Datos!$D$2:$D$11,A11,Datos!$C$2:$C$11)</f>
        <v>2</v>
      </c>
    </row>
    <row r="12" customFormat="false" ht="15" hidden="false" customHeight="false" outlineLevel="0" collapsed="false">
      <c r="A12" s="6" t="n">
        <v>2</v>
      </c>
      <c r="B12" s="7" t="n">
        <f aca="false">AVERAGEIF(Datos!$D$2:$D$11,A12,Datos!$B$2:$B$11)</f>
        <v>7</v>
      </c>
      <c r="C12" s="7" t="n">
        <f aca="false">AVERAGEIF(Datos!$D$2:$D$11,A12,Datos!$C$2:$C$11)</f>
        <v>6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8.71"/>
    <col collapsed="false" customWidth="true" hidden="false" outlineLevel="0" max="2" min="2" style="0" width="15.43"/>
    <col collapsed="false" customWidth="true" hidden="false" outlineLevel="0" max="3" min="3" style="0" width="15.71"/>
    <col collapsed="false" customWidth="true" hidden="false" outlineLevel="0" max="4" min="4" style="0" width="19.71"/>
    <col collapsed="false" customWidth="true" hidden="false" outlineLevel="0" max="6" min="5" style="0" width="8.71"/>
  </cols>
  <sheetData>
    <row r="1" customFormat="false" ht="15" hidden="false" customHeight="false" outlineLevel="0" collapsed="false">
      <c r="A1" s="1" t="s">
        <v>0</v>
      </c>
      <c r="B1" s="1" t="s">
        <v>8</v>
      </c>
      <c r="C1" s="1" t="s">
        <v>9</v>
      </c>
      <c r="D1" s="1" t="s">
        <v>10</v>
      </c>
    </row>
    <row r="2" customFormat="false" ht="15" hidden="false" customHeight="false" outlineLevel="0" collapsed="false">
      <c r="A2" s="1" t="n">
        <f aca="false">Datos!A2</f>
        <v>1</v>
      </c>
      <c r="B2" s="8" t="n">
        <f aca="false">SQRT((Datos!B2-Centroides!$B$4)^2+(Datos!C2-Centroides!$C$4)^2)</f>
        <v>1.4142135623731</v>
      </c>
      <c r="C2" s="8" t="n">
        <f aca="false">SQRT((Datos!B2-Centroides!$B$5)^2+(Datos!C2-Centroides!$C$5)^2)</f>
        <v>3.60555127546399</v>
      </c>
      <c r="D2" s="0" t="n">
        <f aca="false">IF(B2&lt;C2,1,2)</f>
        <v>1</v>
      </c>
    </row>
    <row r="3" customFormat="false" ht="15" hidden="false" customHeight="false" outlineLevel="0" collapsed="false">
      <c r="A3" s="1" t="n">
        <f aca="false">Datos!A3</f>
        <v>2</v>
      </c>
      <c r="B3" s="8" t="n">
        <f aca="false">SQRT((Datos!B3-Centroides!$B$4)^2+(Datos!C3-Centroides!$C$4)^2)</f>
        <v>4.47213595499958</v>
      </c>
      <c r="C3" s="8" t="n">
        <f aca="false">SQRT((Datos!B3-Centroides!$B$5)^2+(Datos!C3-Centroides!$C$5)^2)</f>
        <v>1</v>
      </c>
      <c r="D3" s="0" t="n">
        <f aca="false">IF(B3&lt;C3,1,2)</f>
        <v>2</v>
      </c>
    </row>
    <row r="4" customFormat="false" ht="15" hidden="false" customHeight="false" outlineLevel="0" collapsed="false">
      <c r="A4" s="1" t="n">
        <f aca="false">Datos!A4</f>
        <v>3</v>
      </c>
      <c r="B4" s="8" t="n">
        <f aca="false">SQRT((Datos!B4-Centroides!$B$4)^2+(Datos!C4-Centroides!$C$4)^2)</f>
        <v>0</v>
      </c>
      <c r="C4" s="8" t="n">
        <f aca="false">SQRT((Datos!B4-Centroides!$B$5)^2+(Datos!C4-Centroides!$C$5)^2)</f>
        <v>5</v>
      </c>
      <c r="D4" s="0" t="n">
        <f aca="false">IF(B4&lt;C4,1,2)</f>
        <v>1</v>
      </c>
    </row>
    <row r="5" customFormat="false" ht="15" hidden="false" customHeight="false" outlineLevel="0" collapsed="false">
      <c r="A5" s="1" t="n">
        <f aca="false">Datos!A5</f>
        <v>4</v>
      </c>
      <c r="B5" s="8" t="n">
        <f aca="false">SQRT((Datos!B5-Centroides!$B$4)^2+(Datos!C5-Centroides!$C$4)^2)</f>
        <v>5.8309518948453</v>
      </c>
      <c r="C5" s="8" t="n">
        <f aca="false">SQRT((Datos!B5-Centroides!$B$5)^2+(Datos!C5-Centroides!$C$5)^2)</f>
        <v>1</v>
      </c>
      <c r="D5" s="0" t="n">
        <f aca="false">IF(B5&lt;C5,1,2)</f>
        <v>2</v>
      </c>
    </row>
    <row r="6" customFormat="false" ht="15" hidden="false" customHeight="false" outlineLevel="0" collapsed="false">
      <c r="A6" s="1" t="n">
        <f aca="false">Datos!A6</f>
        <v>5</v>
      </c>
      <c r="B6" s="8" t="n">
        <f aca="false">SQRT((Datos!B6-Centroides!$B$4)^2+(Datos!C6-Centroides!$C$4)^2)</f>
        <v>0.707106781186548</v>
      </c>
      <c r="C6" s="8" t="n">
        <f aca="false">SQRT((Datos!B6-Centroides!$B$5)^2+(Datos!C6-Centroides!$C$5)^2)</f>
        <v>4.30116263352131</v>
      </c>
      <c r="D6" s="0" t="n">
        <f aca="false">IF(B6&lt;C6,1,2)</f>
        <v>1</v>
      </c>
    </row>
    <row r="7" customFormat="false" ht="15" hidden="false" customHeight="false" outlineLevel="0" collapsed="false">
      <c r="A7" s="1" t="n">
        <f aca="false">Datos!A7</f>
        <v>6</v>
      </c>
      <c r="B7" s="8" t="n">
        <f aca="false">SQRT((Datos!B7-Centroides!$B$4)^2+(Datos!C7-Centroides!$C$4)^2)</f>
        <v>7.21110255092798</v>
      </c>
      <c r="C7" s="8" t="n">
        <f aca="false">SQRT((Datos!B7-Centroides!$B$5)^2+(Datos!C7-Centroides!$C$5)^2)</f>
        <v>2.23606797749979</v>
      </c>
      <c r="D7" s="0" t="n">
        <f aca="false">IF(B7&lt;C7,1,2)</f>
        <v>2</v>
      </c>
    </row>
    <row r="8" customFormat="false" ht="15" hidden="false" customHeight="false" outlineLevel="0" collapsed="false">
      <c r="A8" s="1" t="n">
        <f aca="false">Datos!A8</f>
        <v>7</v>
      </c>
      <c r="B8" s="8" t="n">
        <f aca="false">SQRT((Datos!B8-Centroides!$B$4)^2+(Datos!C8-Centroides!$C$4)^2)</f>
        <v>8.60232526704263</v>
      </c>
      <c r="C8" s="8" t="n">
        <f aca="false">SQRT((Datos!B8-Centroides!$B$5)^2+(Datos!C8-Centroides!$C$5)^2)</f>
        <v>3.60555127546399</v>
      </c>
      <c r="D8" s="0" t="n">
        <f aca="false">IF(B8&lt;C8,1,2)</f>
        <v>2</v>
      </c>
    </row>
    <row r="9" customFormat="false" ht="15" hidden="false" customHeight="false" outlineLevel="0" collapsed="false">
      <c r="A9" s="1" t="n">
        <f aca="false">Datos!A9</f>
        <v>8</v>
      </c>
      <c r="B9" s="8" t="n">
        <f aca="false">SQRT((Datos!B9-Centroides!$B$4)^2+(Datos!C9-Centroides!$C$4)^2)</f>
        <v>0.5</v>
      </c>
      <c r="C9" s="8" t="n">
        <f aca="false">SQRT((Datos!B9-Centroides!$B$5)^2+(Datos!C9-Centroides!$C$5)^2)</f>
        <v>5.31507290636733</v>
      </c>
      <c r="D9" s="0" t="n">
        <f aca="false">IF(B9&lt;C9,1,2)</f>
        <v>1</v>
      </c>
    </row>
    <row r="10" customFormat="false" ht="15" hidden="false" customHeight="false" outlineLevel="0" collapsed="false">
      <c r="A10" s="1" t="n">
        <f aca="false">Datos!A10</f>
        <v>9</v>
      </c>
      <c r="B10" s="8" t="n">
        <f aca="false">SQRT((Datos!B10-Centroides!$B$4)^2+(Datos!C10-Centroides!$C$4)^2)</f>
        <v>10</v>
      </c>
      <c r="C10" s="8" t="n">
        <f aca="false">SQRT((Datos!B10-Centroides!$B$5)^2+(Datos!C10-Centroides!$C$5)^2)</f>
        <v>5</v>
      </c>
      <c r="D10" s="0" t="n">
        <f aca="false">IF(B10&lt;C10,1,2)</f>
        <v>2</v>
      </c>
    </row>
    <row r="11" customFormat="false" ht="15" hidden="false" customHeight="false" outlineLevel="0" collapsed="false">
      <c r="A11" s="1" t="n">
        <f aca="false">Datos!A11</f>
        <v>10</v>
      </c>
      <c r="B11" s="8" t="n">
        <f aca="false">SQRT((Datos!B11-Centroides!$B$4)^2+(Datos!C11-Centroides!$C$4)^2)</f>
        <v>1.1180339887499</v>
      </c>
      <c r="C11" s="8" t="n">
        <f aca="false">SQRT((Datos!B11-Centroides!$B$5)^2+(Datos!C11-Centroides!$C$5)^2)</f>
        <v>6.02079728939615</v>
      </c>
      <c r="D11" s="0" t="n">
        <f aca="false">IF(B11&lt;C11,1,2)</f>
        <v>1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2026-05-31T21:37:41Z</dcterms:created>
  <dc:creator>openpyxl</dc:creator>
  <dc:description/>
  <dc:language>en-US</dc:language>
  <cp:lastModifiedBy/>
  <dcterms:modified xsi:type="dcterms:W3CDTF">2026-05-31T21:37:41Z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